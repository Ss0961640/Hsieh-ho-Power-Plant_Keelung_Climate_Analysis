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桌面\raintime+full\rainfull_day_for_1.0mm_and_30.0mm\"/>
    </mc:Choice>
  </mc:AlternateContent>
  <xr:revisionPtr revIDLastSave="0" documentId="13_ncr:1_{406DF692-1BAF-4E34-BB9F-1951F91D9417}" xr6:coauthVersionLast="36" xr6:coauthVersionMax="36" xr10:uidLastSave="{00000000-0000-0000-0000-000000000000}"/>
  <bookViews>
    <workbookView xWindow="0" yWindow="0" windowWidth="17256" windowHeight="5580" activeTab="3" xr2:uid="{7E41C4AC-D663-486E-B1E2-8C22F4AB6B0D}"/>
  </bookViews>
  <sheets>
    <sheet name="降雨量&gt;1.0mm" sheetId="1" r:id="rId1"/>
    <sheet name="降雨量&gt;30.0mm" sheetId="2" r:id="rId2"/>
    <sheet name="降雨量1.0~30.0mm" sheetId="3" r:id="rId3"/>
    <sheet name="工作表1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" i="2" l="1"/>
  <c r="K6" i="2"/>
  <c r="K5" i="2"/>
  <c r="L26" i="3" l="1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4" i="2"/>
  <c r="K3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L26" i="1" l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J12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1" i="1"/>
  <c r="J10" i="1"/>
  <c r="J9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<sst xmlns="http://schemas.openxmlformats.org/spreadsheetml/2006/main" count="252" uniqueCount="24">
  <si>
    <t>1月</t>
    <phoneticPr fontId="1" type="noConversion"/>
  </si>
  <si>
    <t>2月</t>
    <phoneticPr fontId="1" type="noConversion"/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</si>
  <si>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</si>
  <si>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</si>
  <si>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</si>
  <si>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</si>
  <si>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</si>
  <si>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</si>
  <si>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</si>
  <si>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</si>
  <si>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</si>
  <si>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</si>
  <si>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降雨量 &gt;  1.0mm (日數)</t>
    <phoneticPr fontId="1" type="noConversion"/>
  </si>
  <si>
    <t>降雨量 &gt;  30.0mm (日數)</t>
    <phoneticPr fontId="1" type="noConversion"/>
  </si>
  <si>
    <t>降雨量 1.0mm ~  30.0mm (日數)</t>
    <phoneticPr fontId="1" type="noConversion"/>
  </si>
  <si>
    <t>月份</t>
    <phoneticPr fontId="1" type="noConversion"/>
  </si>
  <si>
    <t>平均值統計</t>
    <phoneticPr fontId="1" type="noConversion"/>
  </si>
  <si>
    <t>營運前</t>
    <phoneticPr fontId="1" type="noConversion"/>
  </si>
  <si>
    <t>營運中</t>
    <phoneticPr fontId="1" type="noConversion"/>
  </si>
  <si>
    <t>1、2機組除役</t>
    <phoneticPr fontId="1" type="noConversion"/>
  </si>
  <si>
    <t>高於</t>
    <phoneticPr fontId="1" type="noConversion"/>
  </si>
  <si>
    <t>低於</t>
    <phoneticPr fontId="1" type="noConversion"/>
  </si>
  <si>
    <t>百分比%</t>
    <phoneticPr fontId="1" type="noConversion"/>
  </si>
  <si>
    <t>百分比%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</si>
</sst>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0" tint="-0.14999847407452621"/>
      <name val="新細明體"/>
      <family val="2"/>
      <charset val="136"/>
      <scheme val="minor"/>
    </font>
    <font>
      <sz val="12"/>
      <color theme="0" tint="-0.1499984740745262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2" fillId="0" borderId="0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9" fontId="0" fillId="0" borderId="4" xfId="1" applyFont="1" applyFill="1" applyBorder="1" applyAlignment="1">
      <alignment horizontal="center" vertical="center"/>
    </xf>
    <xf numFmtId="9" fontId="0" fillId="0" borderId="6" xfId="1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9" fontId="0" fillId="0" borderId="15" xfId="1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9" fontId="0" fillId="0" borderId="16" xfId="1" applyFont="1" applyFill="1" applyBorder="1" applyAlignment="1">
      <alignment horizontal="center" vertical="center"/>
    </xf>
    <xf numFmtId="9" fontId="0" fillId="0" borderId="7" xfId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9" fontId="0" fillId="0" borderId="13" xfId="1" applyFont="1" applyFill="1" applyBorder="1" applyAlignment="1">
      <alignment horizontal="center" vertical="center"/>
    </xf>
    <xf numFmtId="9" fontId="0" fillId="0" borderId="19" xfId="1" applyFont="1" applyFill="1" applyBorder="1" applyAlignment="1">
      <alignment horizontal="center" vertical="center"/>
    </xf>
    <xf numFmtId="9" fontId="0" fillId="0" borderId="20" xfId="1" applyFont="1" applyFill="1" applyBorder="1" applyAlignment="1">
      <alignment horizontal="center" vertical="center"/>
    </xf>
    <xf numFmtId="9" fontId="0" fillId="0" borderId="17" xfId="1" applyFont="1" applyFill="1" applyBorder="1" applyAlignment="1">
      <alignment horizontal="center" vertical="center"/>
    </xf>
    <xf numFmtId="9" fontId="0" fillId="0" borderId="11" xfId="1" applyFont="1" applyFill="1" applyBorder="1" applyAlignment="1">
      <alignment horizontal="center" vertical="center"/>
    </xf>
    <xf numFmtId="9" fontId="0" fillId="0" borderId="9" xfId="1" applyFont="1" applyFill="1" applyBorder="1" applyAlignment="1">
      <alignment horizontal="center" vertical="center"/>
    </xf>
    <xf numFmtId="9" fontId="0" fillId="0" borderId="3" xfId="1" applyFont="1" applyFill="1" applyBorder="1" applyAlignment="1">
      <alignment horizontal="center" vertical="center"/>
    </xf>
    <xf numFmtId="9" fontId="0" fillId="0" borderId="22" xfId="1" applyFont="1" applyFill="1" applyBorder="1" applyAlignment="1">
      <alignment horizontal="center" vertical="center"/>
    </xf>
    <xf numFmtId="9" fontId="0" fillId="0" borderId="2" xfId="1" applyFont="1" applyFill="1" applyBorder="1" applyAlignment="1">
      <alignment horizontal="center" vertical="center"/>
    </xf>
    <xf numFmtId="9" fontId="0" fillId="0" borderId="23" xfId="1" applyFont="1" applyFill="1" applyBorder="1" applyAlignment="1">
      <alignment horizontal="center" vertical="center"/>
    </xf>
    <xf numFmtId="9" fontId="0" fillId="0" borderId="21" xfId="1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2924A-4793-464A-A14A-F666F7856C51}">
  <dimension ref="A1:AE26"/>
  <sheetViews>
    <sheetView zoomScaleNormal="100" workbookViewId="0">
      <selection activeCell="P28" sqref="P28"/>
    </sheetView>
  </sheetViews>
  <sheetFormatPr defaultRowHeight="16.2" x14ac:dyDescent="0.3"/>
  <cols>
    <col min="1" max="1" width="5.77734375" customWidth="1"/>
    <col min="2" max="2" width="10.77734375" customWidth="1"/>
    <col min="3" max="5" width="15.77734375" customWidth="1"/>
    <col min="6" max="7" width="10.77734375" customWidth="1"/>
    <col min="8" max="8" width="5.77734375" customWidth="1"/>
    <col min="9" max="9" width="10.77734375" customWidth="1"/>
    <col min="10" max="12" width="15.77734375" customWidth="1"/>
    <col min="13" max="13" width="5.77734375" customWidth="1"/>
  </cols>
  <sheetData>
    <row r="1" spans="1:31" ht="16.8" thickBot="1" x14ac:dyDescent="0.35">
      <c r="B1" t="s">
        <v>12</v>
      </c>
      <c r="H1" t="s">
        <v>22</v>
      </c>
    </row>
    <row r="2" spans="1:31" ht="19.95" customHeight="1" thickBot="1" x14ac:dyDescent="0.35">
      <c r="A2" s="10" t="s">
        <v>15</v>
      </c>
      <c r="B2" s="10" t="s">
        <v>16</v>
      </c>
      <c r="C2" s="34" t="s">
        <v>17</v>
      </c>
      <c r="D2" s="34" t="s">
        <v>18</v>
      </c>
      <c r="E2" s="34" t="s">
        <v>19</v>
      </c>
      <c r="F2" s="11"/>
      <c r="G2" s="11"/>
      <c r="H2" s="17" t="s">
        <v>15</v>
      </c>
      <c r="I2" s="17" t="s">
        <v>16</v>
      </c>
      <c r="J2" s="17" t="s">
        <v>17</v>
      </c>
      <c r="K2" s="17" t="s">
        <v>18</v>
      </c>
      <c r="L2" s="17" t="s">
        <v>19</v>
      </c>
      <c r="M2" s="1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31" ht="16.8" thickBot="1" x14ac:dyDescent="0.35">
      <c r="A3" s="54" t="s">
        <v>0</v>
      </c>
      <c r="B3" s="19" t="s">
        <v>20</v>
      </c>
      <c r="C3" s="23">
        <v>15</v>
      </c>
      <c r="D3" s="28">
        <v>23</v>
      </c>
      <c r="E3" s="29">
        <v>1</v>
      </c>
      <c r="F3" s="12"/>
      <c r="G3" s="12"/>
      <c r="H3" s="55" t="s">
        <v>0</v>
      </c>
      <c r="I3" s="19" t="s">
        <v>20</v>
      </c>
      <c r="J3" s="43">
        <f>15/30</f>
        <v>0.5</v>
      </c>
      <c r="K3" s="44">
        <f>23/43</f>
        <v>0.53488372093023251</v>
      </c>
      <c r="L3" s="45">
        <f>1/3</f>
        <v>0.33333333333333331</v>
      </c>
      <c r="M3" s="1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31" ht="16.8" thickBot="1" x14ac:dyDescent="0.35">
      <c r="A4" s="54"/>
      <c r="B4" s="33" t="s">
        <v>21</v>
      </c>
      <c r="C4" s="7">
        <v>15</v>
      </c>
      <c r="D4" s="8">
        <v>20</v>
      </c>
      <c r="E4" s="9">
        <v>2</v>
      </c>
      <c r="F4" s="12"/>
      <c r="G4" s="12"/>
      <c r="H4" s="55"/>
      <c r="I4" s="33" t="s">
        <v>21</v>
      </c>
      <c r="J4" s="46">
        <f>15/30</f>
        <v>0.5</v>
      </c>
      <c r="K4" s="37">
        <f>20/43</f>
        <v>0.46511627906976744</v>
      </c>
      <c r="L4" s="15">
        <f>2/3</f>
        <v>0.66666666666666663</v>
      </c>
      <c r="M4" s="1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31" ht="16.8" thickBot="1" x14ac:dyDescent="0.35">
      <c r="A5" s="54" t="s">
        <v>1</v>
      </c>
      <c r="B5" s="19" t="s">
        <v>20</v>
      </c>
      <c r="C5" s="23">
        <v>17</v>
      </c>
      <c r="D5" s="28">
        <v>22</v>
      </c>
      <c r="E5" s="29">
        <v>1</v>
      </c>
      <c r="F5" s="12"/>
      <c r="G5" s="12"/>
      <c r="H5" s="55" t="s">
        <v>1</v>
      </c>
      <c r="I5" s="19" t="s">
        <v>20</v>
      </c>
      <c r="J5" s="43">
        <f>17/30</f>
        <v>0.56666666666666665</v>
      </c>
      <c r="K5" s="44">
        <f>22/43</f>
        <v>0.51162790697674421</v>
      </c>
      <c r="L5" s="45">
        <f>1/3</f>
        <v>0.33333333333333331</v>
      </c>
      <c r="M5" s="1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31" ht="16.8" thickBot="1" x14ac:dyDescent="0.35">
      <c r="A6" s="54"/>
      <c r="B6" s="33" t="s">
        <v>21</v>
      </c>
      <c r="C6" s="7">
        <v>13</v>
      </c>
      <c r="D6" s="8">
        <v>21</v>
      </c>
      <c r="E6" s="9">
        <v>2</v>
      </c>
      <c r="F6" s="12"/>
      <c r="G6" s="12"/>
      <c r="H6" s="55"/>
      <c r="I6" s="33" t="s">
        <v>21</v>
      </c>
      <c r="J6" s="46">
        <f>13/30</f>
        <v>0.43333333333333335</v>
      </c>
      <c r="K6" s="37">
        <f>21/43</f>
        <v>0.48837209302325579</v>
      </c>
      <c r="L6" s="15">
        <f>2/3</f>
        <v>0.66666666666666663</v>
      </c>
      <c r="M6" s="1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31" ht="16.8" thickBot="1" x14ac:dyDescent="0.35">
      <c r="A7" s="54" t="s">
        <v>2</v>
      </c>
      <c r="B7" s="19" t="s">
        <v>20</v>
      </c>
      <c r="C7" s="23">
        <v>13</v>
      </c>
      <c r="D7" s="28">
        <v>23</v>
      </c>
      <c r="E7" s="29">
        <v>1</v>
      </c>
      <c r="F7" s="12"/>
      <c r="G7" s="12"/>
      <c r="H7" s="55" t="s">
        <v>2</v>
      </c>
      <c r="I7" s="19" t="s">
        <v>20</v>
      </c>
      <c r="J7" s="43">
        <f>13/30</f>
        <v>0.43333333333333335</v>
      </c>
      <c r="K7" s="44">
        <f>23/43</f>
        <v>0.53488372093023251</v>
      </c>
      <c r="L7" s="45">
        <f>1/3</f>
        <v>0.33333333333333331</v>
      </c>
      <c r="M7" s="12"/>
    </row>
    <row r="8" spans="1:31" ht="16.8" thickBot="1" x14ac:dyDescent="0.35">
      <c r="A8" s="54"/>
      <c r="B8" s="33" t="s">
        <v>21</v>
      </c>
      <c r="C8" s="7">
        <v>17</v>
      </c>
      <c r="D8" s="8">
        <v>20</v>
      </c>
      <c r="E8" s="9">
        <v>2</v>
      </c>
      <c r="F8" s="12"/>
      <c r="G8" s="12"/>
      <c r="H8" s="55"/>
      <c r="I8" s="33" t="s">
        <v>21</v>
      </c>
      <c r="J8" s="46">
        <f>17/30</f>
        <v>0.56666666666666665</v>
      </c>
      <c r="K8" s="37">
        <f>20/43</f>
        <v>0.46511627906976744</v>
      </c>
      <c r="L8" s="15">
        <f>2/3</f>
        <v>0.66666666666666663</v>
      </c>
      <c r="M8" s="12"/>
    </row>
    <row r="9" spans="1:31" ht="16.8" thickBot="1" x14ac:dyDescent="0.35">
      <c r="A9" s="54" t="s">
        <v>3</v>
      </c>
      <c r="B9" s="19" t="s">
        <v>20</v>
      </c>
      <c r="C9" s="23">
        <v>15</v>
      </c>
      <c r="D9" s="28">
        <v>21</v>
      </c>
      <c r="E9" s="29">
        <v>2</v>
      </c>
      <c r="F9" s="12"/>
      <c r="G9" s="12"/>
      <c r="H9" s="55" t="s">
        <v>3</v>
      </c>
      <c r="I9" s="19" t="s">
        <v>20</v>
      </c>
      <c r="J9" s="43">
        <f>15/30</f>
        <v>0.5</v>
      </c>
      <c r="K9" s="44">
        <f>21/43</f>
        <v>0.48837209302325579</v>
      </c>
      <c r="L9" s="45">
        <f>2/3</f>
        <v>0.66666666666666663</v>
      </c>
      <c r="M9" s="12"/>
    </row>
    <row r="10" spans="1:31" ht="16.8" thickBot="1" x14ac:dyDescent="0.35">
      <c r="A10" s="54"/>
      <c r="B10" s="33" t="s">
        <v>21</v>
      </c>
      <c r="C10" s="7">
        <v>15</v>
      </c>
      <c r="D10" s="8">
        <v>22</v>
      </c>
      <c r="E10" s="9">
        <v>1</v>
      </c>
      <c r="F10" s="12"/>
      <c r="G10" s="12"/>
      <c r="H10" s="55"/>
      <c r="I10" s="33" t="s">
        <v>21</v>
      </c>
      <c r="J10" s="46">
        <f>15/30</f>
        <v>0.5</v>
      </c>
      <c r="K10" s="37">
        <f>22/43</f>
        <v>0.51162790697674421</v>
      </c>
      <c r="L10" s="15">
        <f>1/3</f>
        <v>0.33333333333333331</v>
      </c>
      <c r="M10" s="12"/>
    </row>
    <row r="11" spans="1:31" ht="16.8" thickBot="1" x14ac:dyDescent="0.35">
      <c r="A11" s="54" t="s">
        <v>4</v>
      </c>
      <c r="B11" s="19" t="s">
        <v>20</v>
      </c>
      <c r="C11" s="23">
        <v>17</v>
      </c>
      <c r="D11" s="28">
        <v>24</v>
      </c>
      <c r="E11" s="29">
        <v>2</v>
      </c>
      <c r="F11" s="12"/>
      <c r="G11" s="12"/>
      <c r="H11" s="55" t="s">
        <v>4</v>
      </c>
      <c r="I11" s="19" t="s">
        <v>20</v>
      </c>
      <c r="J11" s="43">
        <f>17/30</f>
        <v>0.56666666666666665</v>
      </c>
      <c r="K11" s="44">
        <f>24/43</f>
        <v>0.55813953488372092</v>
      </c>
      <c r="L11" s="45">
        <f>2/3</f>
        <v>0.66666666666666663</v>
      </c>
      <c r="M11" s="12"/>
    </row>
    <row r="12" spans="1:31" ht="16.8" thickBot="1" x14ac:dyDescent="0.35">
      <c r="A12" s="54"/>
      <c r="B12" s="33" t="s">
        <v>21</v>
      </c>
      <c r="C12" s="7">
        <v>13</v>
      </c>
      <c r="D12" s="8">
        <v>19</v>
      </c>
      <c r="E12" s="9">
        <v>1</v>
      </c>
      <c r="F12" s="12"/>
      <c r="G12" s="12"/>
      <c r="H12" s="55"/>
      <c r="I12" s="33" t="s">
        <v>21</v>
      </c>
      <c r="J12" s="46">
        <f>13/30</f>
        <v>0.43333333333333335</v>
      </c>
      <c r="K12" s="37">
        <f>19/43</f>
        <v>0.44186046511627908</v>
      </c>
      <c r="L12" s="15">
        <f>1/3</f>
        <v>0.33333333333333331</v>
      </c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spans="1:31" ht="16.8" thickBot="1" x14ac:dyDescent="0.35">
      <c r="A13" s="54" t="s">
        <v>5</v>
      </c>
      <c r="B13" s="19" t="s">
        <v>20</v>
      </c>
      <c r="C13" s="23">
        <v>20</v>
      </c>
      <c r="D13" s="28">
        <v>22</v>
      </c>
      <c r="E13" s="29">
        <v>0</v>
      </c>
      <c r="F13" s="12"/>
      <c r="G13" s="12"/>
      <c r="H13" s="55" t="s">
        <v>5</v>
      </c>
      <c r="I13" s="19" t="s">
        <v>20</v>
      </c>
      <c r="J13" s="43">
        <f>20/30</f>
        <v>0.66666666666666663</v>
      </c>
      <c r="K13" s="44">
        <f>22/43</f>
        <v>0.51162790697674421</v>
      </c>
      <c r="L13" s="45">
        <f>0/3</f>
        <v>0</v>
      </c>
      <c r="P13" s="56"/>
      <c r="Q13" s="12"/>
      <c r="R13" s="12"/>
      <c r="S13" s="12"/>
      <c r="T13" s="12"/>
      <c r="U13" s="56"/>
      <c r="V13" s="12"/>
      <c r="W13" s="12"/>
      <c r="X13" s="12"/>
      <c r="Y13" s="12"/>
    </row>
    <row r="14" spans="1:31" ht="16.8" thickBot="1" x14ac:dyDescent="0.35">
      <c r="A14" s="54"/>
      <c r="B14" s="33" t="s">
        <v>21</v>
      </c>
      <c r="C14" s="7">
        <v>10</v>
      </c>
      <c r="D14" s="8">
        <v>21</v>
      </c>
      <c r="E14" s="9">
        <v>3</v>
      </c>
      <c r="F14" s="12"/>
      <c r="G14" s="12"/>
      <c r="H14" s="55"/>
      <c r="I14" s="33" t="s">
        <v>21</v>
      </c>
      <c r="J14" s="46">
        <f>10/30</f>
        <v>0.33333333333333331</v>
      </c>
      <c r="K14" s="37">
        <f>21/43</f>
        <v>0.48837209302325579</v>
      </c>
      <c r="L14" s="15">
        <f>3/3</f>
        <v>1</v>
      </c>
      <c r="M14" s="2"/>
      <c r="N14" s="2"/>
      <c r="O14" s="2"/>
      <c r="P14" s="56"/>
      <c r="Q14" s="12"/>
      <c r="R14" s="12"/>
      <c r="S14" s="12"/>
      <c r="T14" s="12"/>
      <c r="U14" s="56"/>
      <c r="V14" s="12"/>
      <c r="W14" s="12"/>
      <c r="X14" s="12"/>
      <c r="Y14" s="12"/>
      <c r="Z14" s="2"/>
      <c r="AA14" s="2"/>
      <c r="AB14" s="2"/>
      <c r="AC14" s="2"/>
      <c r="AD14" s="2"/>
      <c r="AE14" s="2"/>
    </row>
    <row r="15" spans="1:31" ht="16.8" thickBot="1" x14ac:dyDescent="0.35">
      <c r="A15" s="54" t="s">
        <v>6</v>
      </c>
      <c r="B15" s="19" t="s">
        <v>20</v>
      </c>
      <c r="C15" s="23">
        <v>15</v>
      </c>
      <c r="D15" s="28">
        <v>23</v>
      </c>
      <c r="E15" s="29">
        <v>1</v>
      </c>
      <c r="G15" s="2"/>
      <c r="H15" s="55" t="s">
        <v>6</v>
      </c>
      <c r="I15" s="19" t="s">
        <v>20</v>
      </c>
      <c r="J15" s="43">
        <f>15/30</f>
        <v>0.5</v>
      </c>
      <c r="K15" s="44">
        <f>23/43</f>
        <v>0.53488372093023251</v>
      </c>
      <c r="L15" s="45">
        <f>1/3</f>
        <v>0.33333333333333331</v>
      </c>
      <c r="M15" s="2"/>
      <c r="N15" s="2"/>
      <c r="O15" s="2"/>
      <c r="P15" s="56"/>
      <c r="Q15" s="12"/>
      <c r="R15" s="12"/>
      <c r="S15" s="12"/>
      <c r="T15" s="12"/>
      <c r="U15" s="56"/>
      <c r="V15" s="12"/>
      <c r="W15" s="12"/>
      <c r="X15" s="12"/>
      <c r="Y15" s="12"/>
      <c r="Z15" s="2"/>
      <c r="AA15" s="2"/>
      <c r="AB15" s="2"/>
      <c r="AC15" s="2"/>
      <c r="AD15" s="2"/>
      <c r="AE15" s="2"/>
    </row>
    <row r="16" spans="1:31" ht="16.8" thickBot="1" x14ac:dyDescent="0.35">
      <c r="A16" s="54"/>
      <c r="B16" s="33" t="s">
        <v>21</v>
      </c>
      <c r="C16" s="7">
        <v>15</v>
      </c>
      <c r="D16" s="8">
        <v>20</v>
      </c>
      <c r="E16" s="9">
        <v>2</v>
      </c>
      <c r="G16" s="3"/>
      <c r="H16" s="55"/>
      <c r="I16" s="33" t="s">
        <v>21</v>
      </c>
      <c r="J16" s="46">
        <f>15/30</f>
        <v>0.5</v>
      </c>
      <c r="K16" s="37">
        <f>20/43</f>
        <v>0.46511627906976744</v>
      </c>
      <c r="L16" s="15">
        <f>2/3</f>
        <v>0.66666666666666663</v>
      </c>
      <c r="M16" s="2"/>
      <c r="N16" s="2"/>
      <c r="O16" s="2"/>
      <c r="P16" s="56"/>
      <c r="Q16" s="12"/>
      <c r="R16" s="12"/>
      <c r="S16" s="12"/>
      <c r="T16" s="12"/>
      <c r="U16" s="56"/>
      <c r="V16" s="12"/>
      <c r="W16" s="12"/>
      <c r="X16" s="12"/>
      <c r="Y16" s="12"/>
      <c r="Z16" s="2"/>
      <c r="AA16" s="2"/>
      <c r="AB16" s="2"/>
      <c r="AC16" s="2"/>
      <c r="AD16" s="2"/>
      <c r="AE16" s="2"/>
    </row>
    <row r="17" spans="1:31" ht="16.8" thickBot="1" x14ac:dyDescent="0.35">
      <c r="A17" s="54" t="s">
        <v>7</v>
      </c>
      <c r="B17" s="19" t="s">
        <v>20</v>
      </c>
      <c r="C17" s="23">
        <v>14</v>
      </c>
      <c r="D17" s="28">
        <v>22</v>
      </c>
      <c r="E17" s="29">
        <v>0</v>
      </c>
      <c r="G17" s="4"/>
      <c r="H17" s="55" t="s">
        <v>7</v>
      </c>
      <c r="I17" s="19" t="s">
        <v>20</v>
      </c>
      <c r="J17" s="43">
        <f>14/30</f>
        <v>0.46666666666666667</v>
      </c>
      <c r="K17" s="44">
        <f>22/43</f>
        <v>0.51162790697674421</v>
      </c>
      <c r="L17" s="45">
        <f>0/3</f>
        <v>0</v>
      </c>
      <c r="M17" s="2"/>
      <c r="N17" s="2"/>
      <c r="O17" s="2"/>
      <c r="P17" s="56"/>
      <c r="Q17" s="12"/>
      <c r="R17" s="12"/>
      <c r="S17" s="12"/>
      <c r="T17" s="12"/>
      <c r="U17" s="56"/>
      <c r="V17" s="12"/>
      <c r="W17" s="12"/>
      <c r="X17" s="12"/>
      <c r="Y17" s="12"/>
      <c r="Z17" s="2"/>
      <c r="AA17" s="2"/>
      <c r="AB17" s="2"/>
      <c r="AC17" s="2"/>
      <c r="AD17" s="2"/>
      <c r="AE17" s="2"/>
    </row>
    <row r="18" spans="1:31" ht="16.8" thickBot="1" x14ac:dyDescent="0.35">
      <c r="A18" s="54"/>
      <c r="B18" s="33" t="s">
        <v>21</v>
      </c>
      <c r="C18" s="7">
        <v>16</v>
      </c>
      <c r="D18" s="8">
        <v>21</v>
      </c>
      <c r="E18" s="9">
        <v>3</v>
      </c>
      <c r="G18" s="4"/>
      <c r="H18" s="55"/>
      <c r="I18" s="33" t="s">
        <v>21</v>
      </c>
      <c r="J18" s="46">
        <f>16/30</f>
        <v>0.53333333333333333</v>
      </c>
      <c r="K18" s="37">
        <f>21/43</f>
        <v>0.48837209302325579</v>
      </c>
      <c r="L18" s="15">
        <f>3/3</f>
        <v>1</v>
      </c>
      <c r="M18" s="2"/>
      <c r="N18" s="2"/>
      <c r="O18" s="2"/>
      <c r="P18" s="56"/>
      <c r="Q18" s="12"/>
      <c r="R18" s="12"/>
      <c r="S18" s="12"/>
      <c r="T18" s="12"/>
      <c r="U18" s="56"/>
      <c r="V18" s="12"/>
      <c r="W18" s="12"/>
      <c r="X18" s="12"/>
      <c r="Y18" s="12"/>
      <c r="Z18" s="2"/>
      <c r="AA18" s="2"/>
      <c r="AB18" s="2"/>
      <c r="AC18" s="2"/>
      <c r="AD18" s="2"/>
      <c r="AE18" s="2"/>
    </row>
    <row r="19" spans="1:31" ht="16.8" thickBot="1" x14ac:dyDescent="0.35">
      <c r="A19" s="54" t="s">
        <v>8</v>
      </c>
      <c r="B19" s="19" t="s">
        <v>20</v>
      </c>
      <c r="C19" s="23">
        <v>14</v>
      </c>
      <c r="D19" s="28">
        <v>18</v>
      </c>
      <c r="E19" s="29">
        <v>2</v>
      </c>
      <c r="H19" s="55" t="s">
        <v>8</v>
      </c>
      <c r="I19" s="19" t="s">
        <v>20</v>
      </c>
      <c r="J19" s="43">
        <f>14/30</f>
        <v>0.46666666666666667</v>
      </c>
      <c r="K19" s="44">
        <f>18/43</f>
        <v>0.41860465116279072</v>
      </c>
      <c r="L19" s="45">
        <f>2/3</f>
        <v>0.66666666666666663</v>
      </c>
      <c r="P19" s="56"/>
      <c r="Q19" s="12"/>
      <c r="R19" s="12"/>
      <c r="S19" s="12"/>
      <c r="T19" s="12"/>
      <c r="U19" s="56"/>
      <c r="V19" s="12"/>
      <c r="W19" s="12"/>
      <c r="X19" s="12"/>
      <c r="Y19" s="12"/>
    </row>
    <row r="20" spans="1:31" ht="16.8" thickBot="1" x14ac:dyDescent="0.35">
      <c r="A20" s="54"/>
      <c r="B20" s="33" t="s">
        <v>21</v>
      </c>
      <c r="C20" s="7">
        <v>16</v>
      </c>
      <c r="D20" s="8">
        <v>25</v>
      </c>
      <c r="E20" s="9">
        <v>1</v>
      </c>
      <c r="H20" s="55"/>
      <c r="I20" s="33" t="s">
        <v>21</v>
      </c>
      <c r="J20" s="46">
        <f>16/30</f>
        <v>0.53333333333333333</v>
      </c>
      <c r="K20" s="37">
        <f>25/43</f>
        <v>0.58139534883720934</v>
      </c>
      <c r="L20" s="15">
        <f>1/3</f>
        <v>0.33333333333333331</v>
      </c>
      <c r="P20" s="56"/>
      <c r="Q20" s="12"/>
      <c r="R20" s="12"/>
      <c r="S20" s="12"/>
      <c r="T20" s="12"/>
      <c r="U20" s="56"/>
      <c r="V20" s="12"/>
      <c r="W20" s="12"/>
      <c r="X20" s="12"/>
      <c r="Y20" s="12"/>
    </row>
    <row r="21" spans="1:31" ht="16.8" thickBot="1" x14ac:dyDescent="0.35">
      <c r="A21" s="54" t="s">
        <v>9</v>
      </c>
      <c r="B21" s="19" t="s">
        <v>20</v>
      </c>
      <c r="C21" s="23">
        <v>18</v>
      </c>
      <c r="D21" s="28">
        <v>17</v>
      </c>
      <c r="E21" s="29">
        <v>3</v>
      </c>
      <c r="H21" s="55" t="s">
        <v>9</v>
      </c>
      <c r="I21" s="19" t="s">
        <v>20</v>
      </c>
      <c r="J21" s="43">
        <f>18/30</f>
        <v>0.6</v>
      </c>
      <c r="K21" s="44">
        <f>17/43</f>
        <v>0.39534883720930231</v>
      </c>
      <c r="L21" s="45">
        <f>3/3</f>
        <v>1</v>
      </c>
      <c r="P21" s="56"/>
      <c r="Q21" s="12"/>
      <c r="R21" s="12"/>
      <c r="S21" s="12"/>
      <c r="T21" s="12"/>
      <c r="U21" s="56"/>
      <c r="V21" s="12"/>
      <c r="W21" s="12"/>
      <c r="X21" s="12"/>
      <c r="Y21" s="12"/>
    </row>
    <row r="22" spans="1:31" ht="16.8" thickBot="1" x14ac:dyDescent="0.35">
      <c r="A22" s="54"/>
      <c r="B22" s="33" t="s">
        <v>21</v>
      </c>
      <c r="C22" s="7">
        <v>12</v>
      </c>
      <c r="D22" s="8">
        <v>26</v>
      </c>
      <c r="E22" s="9">
        <v>0</v>
      </c>
      <c r="H22" s="55"/>
      <c r="I22" s="33" t="s">
        <v>21</v>
      </c>
      <c r="J22" s="46">
        <f>12/30</f>
        <v>0.4</v>
      </c>
      <c r="K22" s="37">
        <f>26/43</f>
        <v>0.60465116279069764</v>
      </c>
      <c r="L22" s="15">
        <f>0/3</f>
        <v>0</v>
      </c>
      <c r="P22" s="56"/>
      <c r="Q22" s="12"/>
      <c r="R22" s="12"/>
      <c r="S22" s="12"/>
      <c r="T22" s="12"/>
      <c r="U22" s="56"/>
      <c r="V22" s="12"/>
      <c r="W22" s="12"/>
      <c r="X22" s="12"/>
      <c r="Y22" s="12"/>
    </row>
    <row r="23" spans="1:31" ht="16.8" thickBot="1" x14ac:dyDescent="0.35">
      <c r="A23" s="54" t="s">
        <v>10</v>
      </c>
      <c r="B23" s="19" t="s">
        <v>20</v>
      </c>
      <c r="C23" s="23">
        <v>18</v>
      </c>
      <c r="D23" s="28">
        <v>16</v>
      </c>
      <c r="E23" s="29">
        <v>1</v>
      </c>
      <c r="H23" s="55" t="s">
        <v>10</v>
      </c>
      <c r="I23" s="19" t="s">
        <v>20</v>
      </c>
      <c r="J23" s="43">
        <f>18/30</f>
        <v>0.6</v>
      </c>
      <c r="K23" s="44">
        <f>16/43</f>
        <v>0.37209302325581395</v>
      </c>
      <c r="L23" s="45">
        <f>1/3</f>
        <v>0.33333333333333331</v>
      </c>
      <c r="P23" s="56"/>
      <c r="Q23" s="12"/>
      <c r="R23" s="12"/>
      <c r="S23" s="12"/>
      <c r="T23" s="12"/>
      <c r="U23" s="56"/>
      <c r="V23" s="12"/>
      <c r="W23" s="12"/>
      <c r="X23" s="12"/>
      <c r="Y23" s="12"/>
    </row>
    <row r="24" spans="1:31" ht="16.8" thickBot="1" x14ac:dyDescent="0.35">
      <c r="A24" s="54"/>
      <c r="B24" s="33" t="s">
        <v>21</v>
      </c>
      <c r="C24" s="7">
        <v>12</v>
      </c>
      <c r="D24" s="8">
        <v>27</v>
      </c>
      <c r="E24" s="9">
        <v>2</v>
      </c>
      <c r="H24" s="55"/>
      <c r="I24" s="33" t="s">
        <v>21</v>
      </c>
      <c r="J24" s="46">
        <f>12/30</f>
        <v>0.4</v>
      </c>
      <c r="K24" s="37">
        <f>27/43</f>
        <v>0.62790697674418605</v>
      </c>
      <c r="L24" s="15">
        <f>2/3</f>
        <v>0.66666666666666663</v>
      </c>
      <c r="P24" s="56"/>
      <c r="Q24" s="12"/>
      <c r="R24" s="12"/>
      <c r="S24" s="12"/>
      <c r="T24" s="12"/>
      <c r="U24" s="56"/>
      <c r="V24" s="12"/>
      <c r="W24" s="12"/>
      <c r="X24" s="12"/>
      <c r="Y24" s="12"/>
    </row>
    <row r="25" spans="1:31" ht="16.8" thickBot="1" x14ac:dyDescent="0.35">
      <c r="A25" s="54" t="s">
        <v>11</v>
      </c>
      <c r="B25" s="19" t="s">
        <v>20</v>
      </c>
      <c r="C25" s="23">
        <v>18</v>
      </c>
      <c r="D25" s="28">
        <v>21</v>
      </c>
      <c r="E25" s="29">
        <v>3</v>
      </c>
      <c r="H25" s="55" t="s">
        <v>11</v>
      </c>
      <c r="I25" s="41" t="s">
        <v>20</v>
      </c>
      <c r="J25" s="47">
        <f>18/30</f>
        <v>0.6</v>
      </c>
      <c r="K25" s="13">
        <f>21/43</f>
        <v>0.48837209302325579</v>
      </c>
      <c r="L25" s="14">
        <f>3/3</f>
        <v>1</v>
      </c>
    </row>
    <row r="26" spans="1:31" ht="16.8" thickBot="1" x14ac:dyDescent="0.35">
      <c r="A26" s="55"/>
      <c r="B26" s="33" t="s">
        <v>21</v>
      </c>
      <c r="C26" s="7">
        <v>12</v>
      </c>
      <c r="D26" s="8">
        <v>22</v>
      </c>
      <c r="E26" s="9">
        <v>0</v>
      </c>
      <c r="H26" s="55"/>
      <c r="I26" s="33" t="s">
        <v>21</v>
      </c>
      <c r="J26" s="46">
        <f>12/30</f>
        <v>0.4</v>
      </c>
      <c r="K26" s="37">
        <f>22/43</f>
        <v>0.51162790697674421</v>
      </c>
      <c r="L26" s="15">
        <f>0/3</f>
        <v>0</v>
      </c>
    </row>
  </sheetData>
  <mergeCells count="36">
    <mergeCell ref="P21:P22"/>
    <mergeCell ref="U21:U22"/>
    <mergeCell ref="P23:P24"/>
    <mergeCell ref="U23:U24"/>
    <mergeCell ref="P13:P14"/>
    <mergeCell ref="U13:U14"/>
    <mergeCell ref="P15:P16"/>
    <mergeCell ref="U15:U16"/>
    <mergeCell ref="P17:P18"/>
    <mergeCell ref="U17:U18"/>
    <mergeCell ref="A3:A4"/>
    <mergeCell ref="A5:A6"/>
    <mergeCell ref="A7:A8"/>
    <mergeCell ref="P19:P20"/>
    <mergeCell ref="U19:U20"/>
    <mergeCell ref="A21:A22"/>
    <mergeCell ref="A23:A24"/>
    <mergeCell ref="A9:A10"/>
    <mergeCell ref="A11:A12"/>
    <mergeCell ref="A13:A14"/>
    <mergeCell ref="A25:A26"/>
    <mergeCell ref="H3:H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A15:A16"/>
    <mergeCell ref="A17:A18"/>
    <mergeCell ref="A19:A2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9C909-E7D6-4ABB-96EA-912171F70F26}">
  <dimension ref="A1:AF29"/>
  <sheetViews>
    <sheetView topLeftCell="A7" workbookViewId="0">
      <selection activeCell="K6" sqref="K6"/>
    </sheetView>
  </sheetViews>
  <sheetFormatPr defaultRowHeight="16.2" x14ac:dyDescent="0.3"/>
  <cols>
    <col min="1" max="1" width="5.77734375" customWidth="1"/>
    <col min="2" max="2" width="10.77734375" customWidth="1"/>
    <col min="3" max="5" width="15.77734375" customWidth="1"/>
    <col min="6" max="7" width="10.77734375" customWidth="1"/>
    <col min="8" max="8" width="5.77734375" customWidth="1"/>
    <col min="9" max="9" width="10.77734375" customWidth="1"/>
    <col min="10" max="12" width="15.77734375" customWidth="1"/>
    <col min="13" max="13" width="5.77734375" customWidth="1"/>
  </cols>
  <sheetData>
    <row r="1" spans="1:25" ht="16.8" thickBot="1" x14ac:dyDescent="0.35">
      <c r="B1" t="s">
        <v>13</v>
      </c>
      <c r="H1" t="s">
        <v>23</v>
      </c>
    </row>
    <row r="2" spans="1:25" ht="19.95" customHeight="1" thickBot="1" x14ac:dyDescent="0.35">
      <c r="A2" s="17" t="s">
        <v>15</v>
      </c>
      <c r="B2" s="17" t="s">
        <v>16</v>
      </c>
      <c r="C2" s="17" t="s">
        <v>17</v>
      </c>
      <c r="D2" s="17" t="s">
        <v>18</v>
      </c>
      <c r="E2" s="17" t="s">
        <v>19</v>
      </c>
      <c r="F2" s="11"/>
      <c r="G2" s="11"/>
      <c r="H2" s="17" t="s">
        <v>15</v>
      </c>
      <c r="I2" s="17" t="s">
        <v>16</v>
      </c>
      <c r="J2" s="17" t="s">
        <v>17</v>
      </c>
      <c r="K2" s="17" t="s">
        <v>18</v>
      </c>
      <c r="L2" s="17" t="s">
        <v>19</v>
      </c>
      <c r="M2" s="12"/>
      <c r="N2" s="2"/>
      <c r="O2" s="2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spans="1:25" ht="16.8" thickBot="1" x14ac:dyDescent="0.35">
      <c r="A3" s="55" t="s">
        <v>0</v>
      </c>
      <c r="B3" s="19" t="s">
        <v>20</v>
      </c>
      <c r="C3" s="40">
        <v>14</v>
      </c>
      <c r="D3" s="28">
        <v>18</v>
      </c>
      <c r="E3" s="29">
        <v>2</v>
      </c>
      <c r="F3" s="12"/>
      <c r="G3" s="12"/>
      <c r="H3" s="55" t="s">
        <v>0</v>
      </c>
      <c r="I3" s="19" t="s">
        <v>20</v>
      </c>
      <c r="J3" s="43">
        <f>14/30</f>
        <v>0.46666666666666667</v>
      </c>
      <c r="K3" s="44">
        <f>18/43</f>
        <v>0.41860465116279072</v>
      </c>
      <c r="L3" s="45">
        <f>2/3</f>
        <v>0.66666666666666663</v>
      </c>
      <c r="M3" s="12"/>
      <c r="N3" s="2"/>
      <c r="O3" s="2"/>
      <c r="P3" s="21"/>
      <c r="Q3" s="12"/>
      <c r="R3" s="12"/>
      <c r="S3" s="12"/>
      <c r="T3" s="12"/>
      <c r="U3" s="21"/>
      <c r="V3" s="12"/>
      <c r="W3" s="12"/>
      <c r="X3" s="12"/>
      <c r="Y3" s="12"/>
    </row>
    <row r="4" spans="1:25" ht="16.8" thickBot="1" x14ac:dyDescent="0.35">
      <c r="A4" s="55"/>
      <c r="B4" s="33" t="s">
        <v>21</v>
      </c>
      <c r="C4" s="26">
        <v>16</v>
      </c>
      <c r="D4" s="8">
        <v>25</v>
      </c>
      <c r="E4" s="9">
        <v>1</v>
      </c>
      <c r="F4" s="12"/>
      <c r="G4" s="12"/>
      <c r="H4" s="55"/>
      <c r="I4" s="39" t="s">
        <v>21</v>
      </c>
      <c r="J4" s="46">
        <f>16/30</f>
        <v>0.53333333333333333</v>
      </c>
      <c r="K4" s="37">
        <f>25/43</f>
        <v>0.58139534883720934</v>
      </c>
      <c r="L4" s="15">
        <f>1/3</f>
        <v>0.33333333333333331</v>
      </c>
      <c r="M4" s="12"/>
      <c r="N4" s="2"/>
      <c r="O4" s="2"/>
      <c r="P4" s="21"/>
      <c r="Q4" s="12"/>
      <c r="R4" s="12"/>
      <c r="S4" s="12"/>
      <c r="T4" s="12"/>
      <c r="U4" s="21"/>
      <c r="V4" s="12"/>
      <c r="W4" s="12"/>
      <c r="X4" s="12"/>
      <c r="Y4" s="12"/>
    </row>
    <row r="5" spans="1:25" ht="16.8" thickBot="1" x14ac:dyDescent="0.35">
      <c r="A5" s="55" t="s">
        <v>1</v>
      </c>
      <c r="B5" s="19" t="s">
        <v>20</v>
      </c>
      <c r="C5" s="40">
        <v>14</v>
      </c>
      <c r="D5" s="28">
        <v>24</v>
      </c>
      <c r="E5" s="29">
        <v>1</v>
      </c>
      <c r="F5" s="12"/>
      <c r="G5" s="12"/>
      <c r="H5" s="55" t="s">
        <v>1</v>
      </c>
      <c r="I5" s="39" t="s">
        <v>20</v>
      </c>
      <c r="J5" s="47">
        <f>14/30</f>
        <v>0.46666666666666667</v>
      </c>
      <c r="K5" s="13">
        <f>24/43</f>
        <v>0.55813953488372092</v>
      </c>
      <c r="L5" s="14">
        <f>1/3</f>
        <v>0.33333333333333331</v>
      </c>
      <c r="M5" s="12"/>
      <c r="N5" s="2"/>
      <c r="O5" s="2"/>
      <c r="P5" s="21"/>
      <c r="Q5" s="12"/>
      <c r="R5" s="12"/>
      <c r="S5" s="12"/>
      <c r="T5" s="12"/>
      <c r="U5" s="21"/>
      <c r="V5" s="12"/>
      <c r="W5" s="12"/>
      <c r="X5" s="12"/>
      <c r="Y5" s="12"/>
    </row>
    <row r="6" spans="1:25" ht="16.8" thickBot="1" x14ac:dyDescent="0.35">
      <c r="A6" s="55"/>
      <c r="B6" s="33" t="s">
        <v>21</v>
      </c>
      <c r="C6" s="26">
        <v>16</v>
      </c>
      <c r="D6" s="8">
        <v>19</v>
      </c>
      <c r="E6" s="9">
        <v>2</v>
      </c>
      <c r="F6" s="12"/>
      <c r="G6" s="12"/>
      <c r="H6" s="55"/>
      <c r="I6" s="33" t="s">
        <v>21</v>
      </c>
      <c r="J6" s="46">
        <f>16/30</f>
        <v>0.53333333333333333</v>
      </c>
      <c r="K6" s="37">
        <f>19/43</f>
        <v>0.44186046511627908</v>
      </c>
      <c r="L6" s="15">
        <f>2/3</f>
        <v>0.66666666666666663</v>
      </c>
      <c r="M6" s="12"/>
      <c r="N6" s="2"/>
      <c r="O6" s="2"/>
      <c r="P6" s="21"/>
      <c r="Q6" s="12"/>
      <c r="R6" s="12"/>
      <c r="S6" s="12"/>
      <c r="T6" s="12"/>
      <c r="U6" s="21"/>
      <c r="V6" s="12"/>
      <c r="W6" s="12"/>
      <c r="X6" s="12"/>
      <c r="Y6" s="12"/>
    </row>
    <row r="7" spans="1:25" ht="16.8" thickBot="1" x14ac:dyDescent="0.35">
      <c r="A7" s="55" t="s">
        <v>2</v>
      </c>
      <c r="B7" s="19" t="s">
        <v>20</v>
      </c>
      <c r="C7" s="40">
        <v>12</v>
      </c>
      <c r="D7" s="28">
        <v>17</v>
      </c>
      <c r="E7" s="29">
        <v>1</v>
      </c>
      <c r="F7" s="12"/>
      <c r="G7" s="12"/>
      <c r="H7" s="55" t="s">
        <v>2</v>
      </c>
      <c r="I7" s="19" t="s">
        <v>20</v>
      </c>
      <c r="J7" s="43">
        <f>12/30</f>
        <v>0.4</v>
      </c>
      <c r="K7" s="44">
        <f>17/43</f>
        <v>0.39534883720930231</v>
      </c>
      <c r="L7" s="45">
        <f>1/3</f>
        <v>0.33333333333333331</v>
      </c>
      <c r="M7" s="12"/>
      <c r="P7" s="21"/>
      <c r="Q7" s="12"/>
      <c r="R7" s="12"/>
      <c r="S7" s="12"/>
      <c r="T7" s="12"/>
      <c r="U7" s="21"/>
      <c r="V7" s="12"/>
      <c r="W7" s="12"/>
      <c r="X7" s="12"/>
      <c r="Y7" s="12"/>
    </row>
    <row r="8" spans="1:25" ht="16.8" thickBot="1" x14ac:dyDescent="0.35">
      <c r="A8" s="55"/>
      <c r="B8" s="33" t="s">
        <v>21</v>
      </c>
      <c r="C8" s="26">
        <v>18</v>
      </c>
      <c r="D8" s="8">
        <v>26</v>
      </c>
      <c r="E8" s="9">
        <v>2</v>
      </c>
      <c r="F8" s="12"/>
      <c r="G8" s="12"/>
      <c r="H8" s="55"/>
      <c r="I8" s="33" t="s">
        <v>21</v>
      </c>
      <c r="J8" s="46">
        <f>18/30</f>
        <v>0.6</v>
      </c>
      <c r="K8" s="37">
        <f>26/43</f>
        <v>0.60465116279069764</v>
      </c>
      <c r="L8" s="15">
        <f>2/3</f>
        <v>0.66666666666666663</v>
      </c>
      <c r="M8" s="12"/>
      <c r="P8" s="21"/>
      <c r="Q8" s="12"/>
      <c r="R8" s="12"/>
      <c r="S8" s="12"/>
      <c r="T8" s="12"/>
      <c r="U8" s="21"/>
      <c r="V8" s="12"/>
      <c r="W8" s="12"/>
      <c r="X8" s="12"/>
      <c r="Y8" s="12"/>
    </row>
    <row r="9" spans="1:25" ht="16.8" thickBot="1" x14ac:dyDescent="0.35">
      <c r="A9" s="55" t="s">
        <v>3</v>
      </c>
      <c r="B9" s="19" t="s">
        <v>20</v>
      </c>
      <c r="C9" s="40">
        <v>9</v>
      </c>
      <c r="D9" s="28">
        <v>15</v>
      </c>
      <c r="E9" s="29">
        <v>1</v>
      </c>
      <c r="F9" s="12"/>
      <c r="G9" s="12"/>
      <c r="H9" s="55" t="s">
        <v>3</v>
      </c>
      <c r="I9" s="19" t="s">
        <v>20</v>
      </c>
      <c r="J9" s="43">
        <f>9/30</f>
        <v>0.3</v>
      </c>
      <c r="K9" s="44">
        <f>15/43</f>
        <v>0.34883720930232559</v>
      </c>
      <c r="L9" s="45">
        <f>1/3</f>
        <v>0.33333333333333331</v>
      </c>
      <c r="M9" s="12"/>
      <c r="P9" s="21"/>
      <c r="Q9" s="12"/>
      <c r="R9" s="12"/>
      <c r="S9" s="12"/>
      <c r="T9" s="12"/>
      <c r="U9" s="21"/>
      <c r="V9" s="12"/>
      <c r="W9" s="12"/>
      <c r="X9" s="12"/>
      <c r="Y9" s="12"/>
    </row>
    <row r="10" spans="1:25" ht="16.8" thickBot="1" x14ac:dyDescent="0.35">
      <c r="A10" s="55"/>
      <c r="B10" s="33" t="s">
        <v>21</v>
      </c>
      <c r="C10" s="26">
        <v>21</v>
      </c>
      <c r="D10" s="8">
        <v>28</v>
      </c>
      <c r="E10" s="9">
        <v>2</v>
      </c>
      <c r="F10" s="12"/>
      <c r="G10" s="12"/>
      <c r="H10" s="55"/>
      <c r="I10" s="33" t="s">
        <v>21</v>
      </c>
      <c r="J10" s="46">
        <f>21/30</f>
        <v>0.7</v>
      </c>
      <c r="K10" s="37">
        <f>28/43</f>
        <v>0.65116279069767447</v>
      </c>
      <c r="L10" s="15">
        <f>2/3</f>
        <v>0.66666666666666663</v>
      </c>
      <c r="M10" s="12"/>
      <c r="P10" s="21"/>
      <c r="Q10" s="12"/>
      <c r="R10" s="12"/>
      <c r="S10" s="12"/>
      <c r="T10" s="12"/>
      <c r="U10" s="21"/>
      <c r="V10" s="12"/>
      <c r="W10" s="12"/>
      <c r="X10" s="12"/>
      <c r="Y10" s="12"/>
    </row>
    <row r="11" spans="1:25" ht="16.8" thickBot="1" x14ac:dyDescent="0.35">
      <c r="A11" s="55" t="s">
        <v>4</v>
      </c>
      <c r="B11" s="19" t="s">
        <v>20</v>
      </c>
      <c r="C11" s="40">
        <v>7</v>
      </c>
      <c r="D11" s="28">
        <v>18</v>
      </c>
      <c r="E11" s="29">
        <v>3</v>
      </c>
      <c r="F11" s="12"/>
      <c r="G11" s="12"/>
      <c r="H11" s="55" t="s">
        <v>4</v>
      </c>
      <c r="I11" s="19" t="s">
        <v>20</v>
      </c>
      <c r="J11" s="43">
        <f>7/30</f>
        <v>0.23333333333333334</v>
      </c>
      <c r="K11" s="44">
        <f>18/43</f>
        <v>0.41860465116279072</v>
      </c>
      <c r="L11" s="45">
        <f>3/3</f>
        <v>1</v>
      </c>
      <c r="M11" s="12"/>
      <c r="O11" s="1"/>
      <c r="P11" s="21"/>
      <c r="Q11" s="12"/>
      <c r="R11" s="12"/>
      <c r="S11" s="12"/>
      <c r="T11" s="12"/>
      <c r="U11" s="21"/>
      <c r="V11" s="12"/>
      <c r="W11" s="12"/>
      <c r="X11" s="12"/>
      <c r="Y11" s="12"/>
    </row>
    <row r="12" spans="1:25" ht="16.8" thickBot="1" x14ac:dyDescent="0.35">
      <c r="A12" s="55"/>
      <c r="B12" s="33" t="s">
        <v>21</v>
      </c>
      <c r="C12" s="26">
        <v>23</v>
      </c>
      <c r="D12" s="8">
        <v>25</v>
      </c>
      <c r="E12" s="9">
        <v>0</v>
      </c>
      <c r="F12" s="12"/>
      <c r="G12" s="12"/>
      <c r="H12" s="55"/>
      <c r="I12" s="33" t="s">
        <v>21</v>
      </c>
      <c r="J12" s="46">
        <f>23/30</f>
        <v>0.76666666666666672</v>
      </c>
      <c r="K12" s="37">
        <f>25/43</f>
        <v>0.58139534883720934</v>
      </c>
      <c r="L12" s="15">
        <f>0/3</f>
        <v>0</v>
      </c>
      <c r="O12" s="1"/>
      <c r="P12" s="21"/>
      <c r="Q12" s="12"/>
      <c r="R12" s="12"/>
      <c r="S12" s="12"/>
      <c r="T12" s="12"/>
      <c r="U12" s="21"/>
      <c r="V12" s="12"/>
      <c r="W12" s="12"/>
      <c r="X12" s="12"/>
      <c r="Y12" s="12"/>
    </row>
    <row r="13" spans="1:25" ht="16.8" thickBot="1" x14ac:dyDescent="0.35">
      <c r="A13" s="55" t="s">
        <v>5</v>
      </c>
      <c r="B13" s="19" t="s">
        <v>20</v>
      </c>
      <c r="C13" s="40">
        <v>11</v>
      </c>
      <c r="D13" s="28">
        <v>17</v>
      </c>
      <c r="E13" s="29">
        <v>1</v>
      </c>
      <c r="F13" s="12"/>
      <c r="G13" s="12"/>
      <c r="H13" s="55" t="s">
        <v>5</v>
      </c>
      <c r="I13" s="19" t="s">
        <v>20</v>
      </c>
      <c r="J13" s="43">
        <f>11/30</f>
        <v>0.36666666666666664</v>
      </c>
      <c r="K13" s="44">
        <f>17/43</f>
        <v>0.39534883720930231</v>
      </c>
      <c r="L13" s="45">
        <f>1/3</f>
        <v>0.33333333333333331</v>
      </c>
      <c r="P13" s="21"/>
      <c r="Q13" s="12"/>
      <c r="R13" s="12"/>
      <c r="S13" s="12"/>
      <c r="T13" s="12"/>
      <c r="U13" s="21"/>
      <c r="V13" s="12"/>
      <c r="W13" s="12"/>
      <c r="X13" s="12"/>
      <c r="Y13" s="12"/>
    </row>
    <row r="14" spans="1:25" ht="16.8" thickBot="1" x14ac:dyDescent="0.35">
      <c r="A14" s="55"/>
      <c r="B14" s="33" t="s">
        <v>21</v>
      </c>
      <c r="C14" s="26">
        <v>19</v>
      </c>
      <c r="D14" s="8">
        <v>26</v>
      </c>
      <c r="E14" s="9">
        <v>2</v>
      </c>
      <c r="F14" s="12"/>
      <c r="G14" s="12"/>
      <c r="H14" s="55"/>
      <c r="I14" s="33" t="s">
        <v>21</v>
      </c>
      <c r="J14" s="46">
        <f>19/30</f>
        <v>0.6333333333333333</v>
      </c>
      <c r="K14" s="37">
        <f>26/43</f>
        <v>0.60465116279069764</v>
      </c>
      <c r="L14" s="15">
        <f>2/3</f>
        <v>0.66666666666666663</v>
      </c>
      <c r="P14" s="21"/>
      <c r="Q14" s="12"/>
      <c r="R14" s="12"/>
      <c r="S14" s="12"/>
      <c r="T14" s="12"/>
      <c r="U14" s="21"/>
      <c r="V14" s="12"/>
      <c r="W14" s="12"/>
      <c r="X14" s="12"/>
      <c r="Y14" s="12"/>
    </row>
    <row r="15" spans="1:25" ht="16.8" thickBot="1" x14ac:dyDescent="0.35">
      <c r="A15" s="55" t="s">
        <v>6</v>
      </c>
      <c r="B15" s="19" t="s">
        <v>20</v>
      </c>
      <c r="C15" s="40">
        <v>13</v>
      </c>
      <c r="D15" s="28">
        <v>15</v>
      </c>
      <c r="E15" s="29">
        <v>2</v>
      </c>
      <c r="H15" s="55" t="s">
        <v>6</v>
      </c>
      <c r="I15" s="19" t="s">
        <v>20</v>
      </c>
      <c r="J15" s="43">
        <f>13/30</f>
        <v>0.43333333333333335</v>
      </c>
      <c r="K15" s="44">
        <f>15/43</f>
        <v>0.34883720930232559</v>
      </c>
      <c r="L15" s="45">
        <f>2/3</f>
        <v>0.66666666666666663</v>
      </c>
    </row>
    <row r="16" spans="1:25" ht="16.8" thickBot="1" x14ac:dyDescent="0.35">
      <c r="A16" s="55"/>
      <c r="B16" s="33" t="s">
        <v>21</v>
      </c>
      <c r="C16" s="26">
        <v>17</v>
      </c>
      <c r="D16" s="8">
        <v>28</v>
      </c>
      <c r="E16" s="9">
        <v>1</v>
      </c>
      <c r="H16" s="55"/>
      <c r="I16" s="33" t="s">
        <v>21</v>
      </c>
      <c r="J16" s="46">
        <f>17/30</f>
        <v>0.56666666666666665</v>
      </c>
      <c r="K16" s="37">
        <f>28/43</f>
        <v>0.65116279069767447</v>
      </c>
      <c r="L16" s="15">
        <f>1/3</f>
        <v>0.33333333333333331</v>
      </c>
    </row>
    <row r="17" spans="1:32" ht="16.8" thickBot="1" x14ac:dyDescent="0.35">
      <c r="A17" s="55" t="s">
        <v>7</v>
      </c>
      <c r="B17" s="19" t="s">
        <v>20</v>
      </c>
      <c r="C17" s="40">
        <v>8</v>
      </c>
      <c r="D17" s="28">
        <v>25</v>
      </c>
      <c r="E17" s="29">
        <v>2</v>
      </c>
      <c r="H17" s="55" t="s">
        <v>7</v>
      </c>
      <c r="I17" s="19" t="s">
        <v>20</v>
      </c>
      <c r="J17" s="43">
        <f>8/30</f>
        <v>0.26666666666666666</v>
      </c>
      <c r="K17" s="44">
        <f>25/43</f>
        <v>0.58139534883720934</v>
      </c>
      <c r="L17" s="45">
        <f>2/3</f>
        <v>0.66666666666666663</v>
      </c>
    </row>
    <row r="18" spans="1:32" ht="16.8" thickBot="1" x14ac:dyDescent="0.35">
      <c r="A18" s="55"/>
      <c r="B18" s="33" t="s">
        <v>21</v>
      </c>
      <c r="C18" s="26">
        <v>22</v>
      </c>
      <c r="D18" s="8">
        <v>18</v>
      </c>
      <c r="E18" s="9">
        <v>1</v>
      </c>
      <c r="H18" s="55"/>
      <c r="I18" s="33" t="s">
        <v>21</v>
      </c>
      <c r="J18" s="46">
        <f>22/30</f>
        <v>0.73333333333333328</v>
      </c>
      <c r="K18" s="37">
        <f>18/43</f>
        <v>0.41860465116279072</v>
      </c>
      <c r="L18" s="15">
        <f>1/3</f>
        <v>0.33333333333333331</v>
      </c>
    </row>
    <row r="19" spans="1:32" ht="16.8" thickBot="1" x14ac:dyDescent="0.35">
      <c r="A19" s="55" t="s">
        <v>8</v>
      </c>
      <c r="B19" s="19" t="s">
        <v>20</v>
      </c>
      <c r="C19" s="40">
        <v>10</v>
      </c>
      <c r="D19" s="28">
        <v>25</v>
      </c>
      <c r="E19" s="29">
        <v>2</v>
      </c>
      <c r="H19" s="55" t="s">
        <v>8</v>
      </c>
      <c r="I19" s="19" t="s">
        <v>20</v>
      </c>
      <c r="J19" s="43">
        <f>10/30</f>
        <v>0.33333333333333331</v>
      </c>
      <c r="K19" s="44">
        <f>25/43</f>
        <v>0.58139534883720934</v>
      </c>
      <c r="L19" s="45">
        <f>2/3</f>
        <v>0.66666666666666663</v>
      </c>
    </row>
    <row r="20" spans="1:32" ht="16.8" thickBot="1" x14ac:dyDescent="0.35">
      <c r="A20" s="55"/>
      <c r="B20" s="33" t="s">
        <v>21</v>
      </c>
      <c r="C20" s="26">
        <v>20</v>
      </c>
      <c r="D20" s="8">
        <v>18</v>
      </c>
      <c r="E20" s="9">
        <v>1</v>
      </c>
      <c r="H20" s="55"/>
      <c r="I20" s="33" t="s">
        <v>21</v>
      </c>
      <c r="J20" s="46">
        <f>20/30</f>
        <v>0.66666666666666663</v>
      </c>
      <c r="K20" s="37">
        <f>18/43</f>
        <v>0.41860465116279072</v>
      </c>
      <c r="L20" s="15">
        <f>1/3</f>
        <v>0.33333333333333331</v>
      </c>
    </row>
    <row r="21" spans="1:32" ht="16.8" thickBot="1" x14ac:dyDescent="0.35">
      <c r="A21" s="55" t="s">
        <v>9</v>
      </c>
      <c r="B21" s="19" t="s">
        <v>20</v>
      </c>
      <c r="C21" s="40">
        <v>11</v>
      </c>
      <c r="D21" s="28">
        <v>20</v>
      </c>
      <c r="E21" s="29">
        <v>3</v>
      </c>
      <c r="H21" s="55" t="s">
        <v>9</v>
      </c>
      <c r="I21" s="19" t="s">
        <v>20</v>
      </c>
      <c r="J21" s="43">
        <f>11/30</f>
        <v>0.36666666666666664</v>
      </c>
      <c r="K21" s="44">
        <f>20/43</f>
        <v>0.46511627906976744</v>
      </c>
      <c r="L21" s="45">
        <f>3/3</f>
        <v>1</v>
      </c>
    </row>
    <row r="22" spans="1:32" ht="16.8" thickBot="1" x14ac:dyDescent="0.35">
      <c r="A22" s="55"/>
      <c r="B22" s="33" t="s">
        <v>21</v>
      </c>
      <c r="C22" s="26">
        <v>19</v>
      </c>
      <c r="D22" s="8">
        <v>23</v>
      </c>
      <c r="E22" s="9">
        <v>0</v>
      </c>
      <c r="H22" s="55"/>
      <c r="I22" s="33" t="s">
        <v>21</v>
      </c>
      <c r="J22" s="46">
        <f>19/30</f>
        <v>0.6333333333333333</v>
      </c>
      <c r="K22" s="37">
        <f>23/43</f>
        <v>0.53488372093023251</v>
      </c>
      <c r="L22" s="15">
        <f>0/3</f>
        <v>0</v>
      </c>
    </row>
    <row r="23" spans="1:32" ht="16.8" thickBot="1" x14ac:dyDescent="0.35">
      <c r="A23" s="55" t="s">
        <v>10</v>
      </c>
      <c r="B23" s="19" t="s">
        <v>20</v>
      </c>
      <c r="C23" s="40">
        <v>13</v>
      </c>
      <c r="D23" s="28">
        <v>21</v>
      </c>
      <c r="E23" s="29">
        <v>2</v>
      </c>
      <c r="H23" s="55" t="s">
        <v>10</v>
      </c>
      <c r="I23" s="19" t="s">
        <v>20</v>
      </c>
      <c r="J23" s="43">
        <f>13/30</f>
        <v>0.43333333333333335</v>
      </c>
      <c r="K23" s="44">
        <f>21/43</f>
        <v>0.48837209302325579</v>
      </c>
      <c r="L23" s="45">
        <f>2/3</f>
        <v>0.66666666666666663</v>
      </c>
    </row>
    <row r="24" spans="1:32" ht="16.8" thickBot="1" x14ac:dyDescent="0.35">
      <c r="A24" s="55"/>
      <c r="B24" s="33" t="s">
        <v>21</v>
      </c>
      <c r="C24" s="26">
        <v>17</v>
      </c>
      <c r="D24" s="8">
        <v>22</v>
      </c>
      <c r="E24" s="9">
        <v>1</v>
      </c>
      <c r="H24" s="55"/>
      <c r="I24" s="33" t="s">
        <v>21</v>
      </c>
      <c r="J24" s="46">
        <f>17/30</f>
        <v>0.56666666666666665</v>
      </c>
      <c r="K24" s="37">
        <f>22/43</f>
        <v>0.51162790697674421</v>
      </c>
      <c r="L24" s="15">
        <f>1/3</f>
        <v>0.33333333333333331</v>
      </c>
    </row>
    <row r="25" spans="1:32" ht="16.8" thickBot="1" x14ac:dyDescent="0.35">
      <c r="A25" s="55" t="s">
        <v>11</v>
      </c>
      <c r="B25" s="41" t="s">
        <v>20</v>
      </c>
      <c r="C25" s="42">
        <v>11</v>
      </c>
      <c r="D25" s="5">
        <v>16</v>
      </c>
      <c r="E25" s="6">
        <v>3</v>
      </c>
      <c r="H25" s="55" t="s">
        <v>11</v>
      </c>
      <c r="I25" s="41" t="s">
        <v>20</v>
      </c>
      <c r="J25" s="47">
        <f>11/30</f>
        <v>0.36666666666666664</v>
      </c>
      <c r="K25" s="13">
        <f>16/43</f>
        <v>0.37209302325581395</v>
      </c>
      <c r="L25" s="14">
        <f>3/3</f>
        <v>1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16.8" thickBot="1" x14ac:dyDescent="0.35">
      <c r="A26" s="55"/>
      <c r="B26" s="33" t="s">
        <v>21</v>
      </c>
      <c r="C26" s="26">
        <v>19</v>
      </c>
      <c r="D26" s="8">
        <v>27</v>
      </c>
      <c r="E26" s="9">
        <v>0</v>
      </c>
      <c r="H26" s="55"/>
      <c r="I26" s="33" t="s">
        <v>21</v>
      </c>
      <c r="J26" s="46">
        <f>19/30</f>
        <v>0.6333333333333333</v>
      </c>
      <c r="K26" s="37">
        <f>27/43</f>
        <v>0.62790697674418605</v>
      </c>
      <c r="L26" s="15">
        <f>0/3</f>
        <v>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x14ac:dyDescent="0.3">
      <c r="H27" s="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x14ac:dyDescent="0.3">
      <c r="H28" s="4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3">
      <c r="H29" s="4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</sheetData>
  <mergeCells count="24">
    <mergeCell ref="A25:A26"/>
    <mergeCell ref="H3:H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A15:A16"/>
    <mergeCell ref="A17:A18"/>
    <mergeCell ref="A19:A20"/>
    <mergeCell ref="A3:A4"/>
    <mergeCell ref="A5:A6"/>
    <mergeCell ref="A7:A8"/>
    <mergeCell ref="A21:A22"/>
    <mergeCell ref="A23:A24"/>
    <mergeCell ref="A9:A10"/>
    <mergeCell ref="A11:A12"/>
    <mergeCell ref="A13:A14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A2221-8076-4D2A-A02E-67DBC8E9219F}">
  <dimension ref="A1:AD28"/>
  <sheetViews>
    <sheetView workbookViewId="0">
      <selection activeCell="O4" sqref="O4"/>
    </sheetView>
  </sheetViews>
  <sheetFormatPr defaultRowHeight="16.2" x14ac:dyDescent="0.3"/>
  <cols>
    <col min="1" max="1" width="5.77734375" customWidth="1"/>
    <col min="2" max="2" width="10.77734375" customWidth="1"/>
    <col min="3" max="5" width="15.77734375" customWidth="1"/>
    <col min="6" max="7" width="10.77734375" customWidth="1"/>
    <col min="8" max="8" width="5.77734375" customWidth="1"/>
    <col min="9" max="9" width="10.77734375" customWidth="1"/>
    <col min="10" max="12" width="15.77734375" customWidth="1"/>
    <col min="13" max="13" width="5.77734375" customWidth="1"/>
    <col min="14" max="25" width="10.77734375" customWidth="1"/>
  </cols>
  <sheetData>
    <row r="1" spans="1:30" ht="16.8" thickBot="1" x14ac:dyDescent="0.35">
      <c r="B1" t="s">
        <v>14</v>
      </c>
      <c r="H1" t="s">
        <v>23</v>
      </c>
    </row>
    <row r="2" spans="1:30" ht="19.95" customHeight="1" thickBot="1" x14ac:dyDescent="0.35">
      <c r="A2" s="27" t="s">
        <v>15</v>
      </c>
      <c r="B2" s="27" t="s">
        <v>16</v>
      </c>
      <c r="C2" s="17" t="s">
        <v>17</v>
      </c>
      <c r="D2" s="17" t="s">
        <v>18</v>
      </c>
      <c r="E2" s="17" t="s">
        <v>19</v>
      </c>
      <c r="F2" s="11"/>
      <c r="G2" s="11"/>
      <c r="H2" s="10" t="s">
        <v>15</v>
      </c>
      <c r="I2" s="16" t="s">
        <v>16</v>
      </c>
      <c r="J2" s="38" t="s">
        <v>17</v>
      </c>
      <c r="K2" s="34" t="s">
        <v>18</v>
      </c>
      <c r="L2" s="34" t="s">
        <v>19</v>
      </c>
      <c r="M2" s="12"/>
      <c r="N2" s="2"/>
      <c r="O2" s="2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spans="1:30" ht="16.8" thickBot="1" x14ac:dyDescent="0.35">
      <c r="A3" s="54" t="s">
        <v>0</v>
      </c>
      <c r="B3" s="19" t="s">
        <v>20</v>
      </c>
      <c r="C3" s="23">
        <v>14</v>
      </c>
      <c r="D3" s="23">
        <v>21</v>
      </c>
      <c r="E3" s="24">
        <v>1</v>
      </c>
      <c r="F3" s="12"/>
      <c r="G3" s="12"/>
      <c r="H3" s="54" t="s">
        <v>0</v>
      </c>
      <c r="I3" s="39" t="s">
        <v>20</v>
      </c>
      <c r="J3" s="48">
        <f>14/30</f>
        <v>0.46666666666666667</v>
      </c>
      <c r="K3" s="48">
        <f>21/43</f>
        <v>0.48837209302325579</v>
      </c>
      <c r="L3" s="49">
        <f>1/3</f>
        <v>0.33333333333333331</v>
      </c>
      <c r="M3" s="12"/>
      <c r="N3" s="2"/>
      <c r="O3" s="2"/>
      <c r="P3" s="12"/>
      <c r="Q3" s="12"/>
      <c r="R3" s="12"/>
      <c r="S3" s="12"/>
      <c r="T3" s="12"/>
      <c r="U3" s="12"/>
      <c r="V3" s="12"/>
      <c r="W3" s="12"/>
      <c r="X3" s="12"/>
      <c r="Y3" s="12"/>
      <c r="Z3" s="2"/>
      <c r="AA3" s="2"/>
      <c r="AB3" s="2"/>
      <c r="AC3" s="2"/>
      <c r="AD3" s="2"/>
    </row>
    <row r="4" spans="1:30" ht="16.8" thickBot="1" x14ac:dyDescent="0.35">
      <c r="A4" s="55"/>
      <c r="B4" s="33" t="s">
        <v>21</v>
      </c>
      <c r="C4" s="7">
        <v>16</v>
      </c>
      <c r="D4" s="8">
        <v>22</v>
      </c>
      <c r="E4" s="9">
        <v>2</v>
      </c>
      <c r="F4" s="12"/>
      <c r="G4" s="12"/>
      <c r="H4" s="54"/>
      <c r="I4" s="33" t="s">
        <v>21</v>
      </c>
      <c r="J4" s="36">
        <f>16/30</f>
        <v>0.53333333333333333</v>
      </c>
      <c r="K4" s="37">
        <f>22/43</f>
        <v>0.51162790697674421</v>
      </c>
      <c r="L4" s="15">
        <f>2/3</f>
        <v>0.66666666666666663</v>
      </c>
      <c r="M4" s="12"/>
      <c r="N4" s="2"/>
      <c r="O4" s="2"/>
      <c r="P4" s="12"/>
      <c r="Q4" s="12"/>
      <c r="R4" s="12"/>
      <c r="S4" s="12"/>
      <c r="T4" s="12"/>
      <c r="U4" s="12"/>
      <c r="V4" s="12"/>
      <c r="W4" s="12"/>
      <c r="X4" s="12"/>
      <c r="Y4" s="12"/>
      <c r="Z4" s="2"/>
      <c r="AA4" s="2"/>
      <c r="AB4" s="2"/>
      <c r="AC4" s="2"/>
      <c r="AD4" s="2"/>
    </row>
    <row r="5" spans="1:30" ht="16.8" thickBot="1" x14ac:dyDescent="0.35">
      <c r="A5" s="57" t="s">
        <v>1</v>
      </c>
      <c r="B5" s="19" t="s">
        <v>20</v>
      </c>
      <c r="C5" s="23">
        <v>14</v>
      </c>
      <c r="D5" s="28">
        <v>20</v>
      </c>
      <c r="E5" s="29">
        <v>1</v>
      </c>
      <c r="F5" s="12"/>
      <c r="G5" s="12"/>
      <c r="H5" s="54" t="s">
        <v>1</v>
      </c>
      <c r="I5" s="19" t="s">
        <v>20</v>
      </c>
      <c r="J5" s="48">
        <f>14/30</f>
        <v>0.46666666666666667</v>
      </c>
      <c r="K5" s="44">
        <f>20/43</f>
        <v>0.46511627906976744</v>
      </c>
      <c r="L5" s="45">
        <f>1/3</f>
        <v>0.33333333333333331</v>
      </c>
      <c r="M5" s="12"/>
      <c r="N5" s="2"/>
      <c r="O5" s="2"/>
      <c r="P5" s="12"/>
      <c r="Q5" s="12"/>
      <c r="R5" s="12"/>
      <c r="S5" s="12"/>
      <c r="T5" s="12"/>
      <c r="U5" s="12"/>
      <c r="V5" s="12"/>
      <c r="W5" s="12"/>
      <c r="X5" s="12"/>
      <c r="Y5" s="12"/>
      <c r="Z5" s="2"/>
      <c r="AA5" s="2"/>
      <c r="AB5" s="2"/>
      <c r="AC5" s="2"/>
      <c r="AD5" s="2"/>
    </row>
    <row r="6" spans="1:30" ht="16.8" thickBot="1" x14ac:dyDescent="0.35">
      <c r="A6" s="54"/>
      <c r="B6" s="33" t="s">
        <v>21</v>
      </c>
      <c r="C6" s="7">
        <v>16</v>
      </c>
      <c r="D6" s="8">
        <v>23</v>
      </c>
      <c r="E6" s="9">
        <v>2</v>
      </c>
      <c r="F6" s="12"/>
      <c r="G6" s="12"/>
      <c r="H6" s="54"/>
      <c r="I6" s="33" t="s">
        <v>21</v>
      </c>
      <c r="J6" s="36">
        <f>16/30</f>
        <v>0.53333333333333333</v>
      </c>
      <c r="K6" s="37">
        <f>23/43</f>
        <v>0.53488372093023251</v>
      </c>
      <c r="L6" s="15">
        <f>2/3</f>
        <v>0.66666666666666663</v>
      </c>
      <c r="M6" s="12"/>
      <c r="N6" s="2"/>
      <c r="O6" s="2"/>
      <c r="P6" s="12"/>
      <c r="Q6" s="12"/>
      <c r="R6" s="12"/>
      <c r="S6" s="12"/>
      <c r="T6" s="12"/>
      <c r="U6" s="12"/>
      <c r="V6" s="12"/>
      <c r="W6" s="12"/>
      <c r="X6" s="12"/>
      <c r="Y6" s="12"/>
      <c r="Z6" s="2"/>
      <c r="AA6" s="2"/>
      <c r="AB6" s="2"/>
      <c r="AC6" s="2"/>
      <c r="AD6" s="2"/>
    </row>
    <row r="7" spans="1:30" ht="16.8" thickBot="1" x14ac:dyDescent="0.35">
      <c r="A7" s="54" t="s">
        <v>2</v>
      </c>
      <c r="B7" s="19" t="s">
        <v>20</v>
      </c>
      <c r="C7" s="23">
        <v>12</v>
      </c>
      <c r="D7" s="28">
        <v>24</v>
      </c>
      <c r="E7" s="29">
        <v>1</v>
      </c>
      <c r="F7" s="12"/>
      <c r="G7" s="12"/>
      <c r="H7" s="54" t="s">
        <v>2</v>
      </c>
      <c r="I7" s="19" t="s">
        <v>20</v>
      </c>
      <c r="J7" s="48">
        <f>12/30</f>
        <v>0.4</v>
      </c>
      <c r="K7" s="44">
        <f>24/43</f>
        <v>0.55813953488372092</v>
      </c>
      <c r="L7" s="45">
        <f>1/3</f>
        <v>0.33333333333333331</v>
      </c>
      <c r="M7" s="12"/>
      <c r="N7" s="2"/>
      <c r="O7" s="2"/>
      <c r="P7" s="12"/>
      <c r="Q7" s="12"/>
      <c r="R7" s="12"/>
      <c r="S7" s="12"/>
      <c r="T7" s="12"/>
      <c r="U7" s="12"/>
      <c r="V7" s="12"/>
      <c r="W7" s="12"/>
      <c r="X7" s="12"/>
      <c r="Y7" s="12"/>
      <c r="Z7" s="2"/>
      <c r="AA7" s="2"/>
      <c r="AB7" s="2"/>
      <c r="AC7" s="2"/>
      <c r="AD7" s="2"/>
    </row>
    <row r="8" spans="1:30" ht="16.8" thickBot="1" x14ac:dyDescent="0.35">
      <c r="A8" s="54"/>
      <c r="B8" s="33" t="s">
        <v>21</v>
      </c>
      <c r="C8" s="7">
        <v>18</v>
      </c>
      <c r="D8" s="8">
        <v>19</v>
      </c>
      <c r="E8" s="9">
        <v>2</v>
      </c>
      <c r="F8" s="12"/>
      <c r="G8" s="12"/>
      <c r="H8" s="54"/>
      <c r="I8" s="33" t="s">
        <v>21</v>
      </c>
      <c r="J8" s="36">
        <f>18/30</f>
        <v>0.6</v>
      </c>
      <c r="K8" s="37">
        <f>19/43</f>
        <v>0.44186046511627908</v>
      </c>
      <c r="L8" s="15">
        <f>2/3</f>
        <v>0.66666666666666663</v>
      </c>
      <c r="M8" s="12"/>
      <c r="N8" s="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 spans="1:30" ht="16.8" thickBot="1" x14ac:dyDescent="0.35">
      <c r="A9" s="54" t="s">
        <v>3</v>
      </c>
      <c r="B9" s="19" t="s">
        <v>20</v>
      </c>
      <c r="C9" s="23">
        <v>13</v>
      </c>
      <c r="D9" s="28">
        <v>21</v>
      </c>
      <c r="E9" s="29">
        <v>1</v>
      </c>
      <c r="F9" s="12"/>
      <c r="G9" s="12"/>
      <c r="H9" s="54" t="s">
        <v>3</v>
      </c>
      <c r="I9" s="19" t="s">
        <v>20</v>
      </c>
      <c r="J9" s="48">
        <f>13/30</f>
        <v>0.43333333333333335</v>
      </c>
      <c r="K9" s="44">
        <f>21/43</f>
        <v>0.48837209302325579</v>
      </c>
      <c r="L9" s="45">
        <f>1/3</f>
        <v>0.33333333333333331</v>
      </c>
      <c r="M9" s="12"/>
      <c r="N9" s="2"/>
      <c r="O9" s="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 spans="1:30" ht="16.8" thickBot="1" x14ac:dyDescent="0.35">
      <c r="A10" s="54"/>
      <c r="B10" s="33" t="s">
        <v>21</v>
      </c>
      <c r="C10" s="7">
        <v>17</v>
      </c>
      <c r="D10" s="8">
        <v>22</v>
      </c>
      <c r="E10" s="9">
        <v>2</v>
      </c>
      <c r="F10" s="12"/>
      <c r="G10" s="12"/>
      <c r="H10" s="54"/>
      <c r="I10" s="33" t="s">
        <v>21</v>
      </c>
      <c r="J10" s="36">
        <f>17/30</f>
        <v>0.56666666666666665</v>
      </c>
      <c r="K10" s="37">
        <f>22/43</f>
        <v>0.51162790697674421</v>
      </c>
      <c r="L10" s="15">
        <f>2/3</f>
        <v>0.66666666666666663</v>
      </c>
      <c r="M10" s="12"/>
      <c r="N10" s="2"/>
      <c r="O10" s="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spans="1:30" ht="16.8" thickBot="1" x14ac:dyDescent="0.35">
      <c r="A11" s="54" t="s">
        <v>4</v>
      </c>
      <c r="B11" s="19" t="s">
        <v>20</v>
      </c>
      <c r="C11" s="23">
        <v>19</v>
      </c>
      <c r="D11" s="28">
        <v>18</v>
      </c>
      <c r="E11" s="29">
        <v>2</v>
      </c>
      <c r="F11" s="12"/>
      <c r="G11" s="12"/>
      <c r="H11" s="54" t="s">
        <v>4</v>
      </c>
      <c r="I11" s="19" t="s">
        <v>20</v>
      </c>
      <c r="J11" s="48">
        <f>19/30</f>
        <v>0.6333333333333333</v>
      </c>
      <c r="K11" s="44">
        <f>18/43</f>
        <v>0.41860465116279072</v>
      </c>
      <c r="L11" s="45">
        <f>2/3</f>
        <v>0.66666666666666663</v>
      </c>
      <c r="M11" s="12"/>
      <c r="N11" s="2"/>
      <c r="O11" s="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spans="1:30" ht="16.8" thickBot="1" x14ac:dyDescent="0.35">
      <c r="A12" s="54"/>
      <c r="B12" s="33" t="s">
        <v>21</v>
      </c>
      <c r="C12" s="7">
        <v>11</v>
      </c>
      <c r="D12" s="8">
        <v>25</v>
      </c>
      <c r="E12" s="9">
        <v>1</v>
      </c>
      <c r="F12" s="12"/>
      <c r="G12" s="12"/>
      <c r="H12" s="54"/>
      <c r="I12" s="33" t="s">
        <v>21</v>
      </c>
      <c r="J12" s="36">
        <f>11/30</f>
        <v>0.36666666666666664</v>
      </c>
      <c r="K12" s="37">
        <f>25/43</f>
        <v>0.58139534883720934</v>
      </c>
      <c r="L12" s="15">
        <f>1/3</f>
        <v>0.33333333333333331</v>
      </c>
      <c r="M12" s="2"/>
      <c r="N12" s="2"/>
      <c r="O12" s="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spans="1:30" ht="16.8" thickBot="1" x14ac:dyDescent="0.35">
      <c r="A13" s="54" t="s">
        <v>5</v>
      </c>
      <c r="B13" s="19" t="s">
        <v>20</v>
      </c>
      <c r="C13" s="31">
        <v>18</v>
      </c>
      <c r="D13" s="22">
        <v>17</v>
      </c>
      <c r="E13" s="29">
        <v>0</v>
      </c>
      <c r="F13" s="12"/>
      <c r="G13" s="12"/>
      <c r="H13" s="54" t="s">
        <v>5</v>
      </c>
      <c r="I13" s="19" t="s">
        <v>20</v>
      </c>
      <c r="J13" s="50">
        <f>18/30</f>
        <v>0.6</v>
      </c>
      <c r="K13" s="51">
        <f>17/43</f>
        <v>0.39534883720930231</v>
      </c>
      <c r="L13" s="45">
        <f>0/3</f>
        <v>0</v>
      </c>
      <c r="M13" s="2"/>
      <c r="N13" s="2"/>
      <c r="O13" s="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spans="1:30" ht="16.8" thickBot="1" x14ac:dyDescent="0.35">
      <c r="A14" s="54"/>
      <c r="B14" s="33" t="s">
        <v>21</v>
      </c>
      <c r="C14" s="25">
        <v>12</v>
      </c>
      <c r="D14" s="8">
        <v>26</v>
      </c>
      <c r="E14" s="18">
        <v>3</v>
      </c>
      <c r="F14" s="12"/>
      <c r="G14" s="12"/>
      <c r="H14" s="54"/>
      <c r="I14" s="33" t="s">
        <v>21</v>
      </c>
      <c r="J14" s="35">
        <f>12/30</f>
        <v>0.4</v>
      </c>
      <c r="K14" s="37">
        <f>26/43</f>
        <v>0.60465116279069764</v>
      </c>
      <c r="L14" s="20">
        <f>3/3</f>
        <v>1</v>
      </c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 spans="1:30" ht="16.8" thickBot="1" x14ac:dyDescent="0.35">
      <c r="A15" s="54" t="s">
        <v>6</v>
      </c>
      <c r="B15" s="19" t="s">
        <v>20</v>
      </c>
      <c r="C15" s="23">
        <v>12</v>
      </c>
      <c r="D15" s="23">
        <v>22</v>
      </c>
      <c r="E15" s="24">
        <v>0</v>
      </c>
      <c r="H15" s="54" t="s">
        <v>6</v>
      </c>
      <c r="I15" s="19" t="s">
        <v>20</v>
      </c>
      <c r="J15" s="48">
        <f>12/30</f>
        <v>0.4</v>
      </c>
      <c r="K15" s="48">
        <f>22/43</f>
        <v>0.51162790697674421</v>
      </c>
      <c r="L15" s="49">
        <f>0/3</f>
        <v>0</v>
      </c>
    </row>
    <row r="16" spans="1:30" ht="16.8" thickBot="1" x14ac:dyDescent="0.35">
      <c r="A16" s="54"/>
      <c r="B16" s="33" t="s">
        <v>21</v>
      </c>
      <c r="C16" s="7">
        <v>18</v>
      </c>
      <c r="D16" s="8">
        <v>21</v>
      </c>
      <c r="E16" s="9">
        <v>3</v>
      </c>
      <c r="H16" s="54"/>
      <c r="I16" s="33" t="s">
        <v>21</v>
      </c>
      <c r="J16" s="36">
        <f>18/30</f>
        <v>0.6</v>
      </c>
      <c r="K16" s="37">
        <f>21/43</f>
        <v>0.48837209302325579</v>
      </c>
      <c r="L16" s="15">
        <f>3/3</f>
        <v>1</v>
      </c>
    </row>
    <row r="17" spans="1:12" ht="16.8" thickBot="1" x14ac:dyDescent="0.35">
      <c r="A17" s="54" t="s">
        <v>7</v>
      </c>
      <c r="B17" s="19" t="s">
        <v>20</v>
      </c>
      <c r="C17" s="23">
        <v>14</v>
      </c>
      <c r="D17" s="28">
        <v>22</v>
      </c>
      <c r="E17" s="29">
        <v>0</v>
      </c>
      <c r="H17" s="54" t="s">
        <v>7</v>
      </c>
      <c r="I17" s="19" t="s">
        <v>20</v>
      </c>
      <c r="J17" s="48">
        <f>14/30</f>
        <v>0.46666666666666667</v>
      </c>
      <c r="K17" s="44">
        <f>22/43</f>
        <v>0.51162790697674421</v>
      </c>
      <c r="L17" s="45">
        <f>0/3</f>
        <v>0</v>
      </c>
    </row>
    <row r="18" spans="1:12" ht="16.8" thickBot="1" x14ac:dyDescent="0.35">
      <c r="A18" s="54"/>
      <c r="B18" s="33" t="s">
        <v>21</v>
      </c>
      <c r="C18" s="7">
        <v>16</v>
      </c>
      <c r="D18" s="8">
        <v>21</v>
      </c>
      <c r="E18" s="9">
        <v>3</v>
      </c>
      <c r="H18" s="54"/>
      <c r="I18" s="33" t="s">
        <v>21</v>
      </c>
      <c r="J18" s="36">
        <f>16/30</f>
        <v>0.53333333333333333</v>
      </c>
      <c r="K18" s="37">
        <f>21/43</f>
        <v>0.48837209302325579</v>
      </c>
      <c r="L18" s="15">
        <f>3/3</f>
        <v>1</v>
      </c>
    </row>
    <row r="19" spans="1:12" ht="16.8" thickBot="1" x14ac:dyDescent="0.35">
      <c r="A19" s="54" t="s">
        <v>8</v>
      </c>
      <c r="B19" s="19" t="s">
        <v>20</v>
      </c>
      <c r="C19" s="23">
        <v>17</v>
      </c>
      <c r="D19" s="28">
        <v>20</v>
      </c>
      <c r="E19" s="29">
        <v>1</v>
      </c>
      <c r="H19" s="54" t="s">
        <v>8</v>
      </c>
      <c r="I19" s="19" t="s">
        <v>20</v>
      </c>
      <c r="J19" s="48">
        <f>17/30</f>
        <v>0.56666666666666665</v>
      </c>
      <c r="K19" s="44">
        <f>20/43</f>
        <v>0.46511627906976744</v>
      </c>
      <c r="L19" s="45">
        <f>1/3</f>
        <v>0.33333333333333331</v>
      </c>
    </row>
    <row r="20" spans="1:12" ht="16.8" thickBot="1" x14ac:dyDescent="0.35">
      <c r="A20" s="54"/>
      <c r="B20" s="33" t="s">
        <v>21</v>
      </c>
      <c r="C20" s="7">
        <v>13</v>
      </c>
      <c r="D20" s="8">
        <v>23</v>
      </c>
      <c r="E20" s="9">
        <v>2</v>
      </c>
      <c r="H20" s="54"/>
      <c r="I20" s="33" t="s">
        <v>21</v>
      </c>
      <c r="J20" s="36">
        <f>13/30</f>
        <v>0.43333333333333335</v>
      </c>
      <c r="K20" s="37">
        <f>23/43</f>
        <v>0.53488372093023251</v>
      </c>
      <c r="L20" s="15">
        <f>2/3</f>
        <v>0.66666666666666663</v>
      </c>
    </row>
    <row r="21" spans="1:12" ht="16.8" thickBot="1" x14ac:dyDescent="0.35">
      <c r="A21" s="54" t="s">
        <v>9</v>
      </c>
      <c r="B21" s="19" t="s">
        <v>20</v>
      </c>
      <c r="C21" s="23">
        <v>16</v>
      </c>
      <c r="D21" s="28">
        <v>18</v>
      </c>
      <c r="E21" s="29">
        <v>2</v>
      </c>
      <c r="H21" s="54" t="s">
        <v>9</v>
      </c>
      <c r="I21" s="19" t="s">
        <v>20</v>
      </c>
      <c r="J21" s="48">
        <f>16/30</f>
        <v>0.53333333333333333</v>
      </c>
      <c r="K21" s="44">
        <f>18/43</f>
        <v>0.41860465116279072</v>
      </c>
      <c r="L21" s="45">
        <f>2/3</f>
        <v>0.66666666666666663</v>
      </c>
    </row>
    <row r="22" spans="1:12" ht="16.8" thickBot="1" x14ac:dyDescent="0.35">
      <c r="A22" s="54"/>
      <c r="B22" s="33" t="s">
        <v>21</v>
      </c>
      <c r="C22" s="7">
        <v>14</v>
      </c>
      <c r="D22" s="8">
        <v>25</v>
      </c>
      <c r="E22" s="9">
        <v>1</v>
      </c>
      <c r="H22" s="54"/>
      <c r="I22" s="33" t="s">
        <v>21</v>
      </c>
      <c r="J22" s="36">
        <f>14/30</f>
        <v>0.46666666666666667</v>
      </c>
      <c r="K22" s="37">
        <f>25/43</f>
        <v>0.58139534883720934</v>
      </c>
      <c r="L22" s="15">
        <f>1/3</f>
        <v>0.33333333333333331</v>
      </c>
    </row>
    <row r="23" spans="1:12" ht="16.8" thickBot="1" x14ac:dyDescent="0.35">
      <c r="A23" s="54" t="s">
        <v>10</v>
      </c>
      <c r="B23" s="19" t="s">
        <v>20</v>
      </c>
      <c r="C23" s="23">
        <v>22</v>
      </c>
      <c r="D23" s="28">
        <v>16</v>
      </c>
      <c r="E23" s="29">
        <v>1</v>
      </c>
      <c r="H23" s="54" t="s">
        <v>10</v>
      </c>
      <c r="I23" s="19" t="s">
        <v>20</v>
      </c>
      <c r="J23" s="48">
        <f>22/30</f>
        <v>0.73333333333333328</v>
      </c>
      <c r="K23" s="44">
        <f>16/43</f>
        <v>0.37209302325581395</v>
      </c>
      <c r="L23" s="45">
        <f>1/3</f>
        <v>0.33333333333333331</v>
      </c>
    </row>
    <row r="24" spans="1:12" ht="16.8" thickBot="1" x14ac:dyDescent="0.35">
      <c r="A24" s="54"/>
      <c r="B24" s="33" t="s">
        <v>21</v>
      </c>
      <c r="C24" s="7">
        <v>8</v>
      </c>
      <c r="D24" s="8">
        <v>27</v>
      </c>
      <c r="E24" s="9">
        <v>2</v>
      </c>
      <c r="H24" s="54"/>
      <c r="I24" s="33" t="s">
        <v>21</v>
      </c>
      <c r="J24" s="36">
        <f>8/30</f>
        <v>0.26666666666666666</v>
      </c>
      <c r="K24" s="37">
        <f>27/43</f>
        <v>0.62790697674418605</v>
      </c>
      <c r="L24" s="15">
        <f>2/3</f>
        <v>0.66666666666666663</v>
      </c>
    </row>
    <row r="25" spans="1:12" ht="16.8" thickBot="1" x14ac:dyDescent="0.35">
      <c r="A25" s="54" t="s">
        <v>11</v>
      </c>
      <c r="B25" s="19" t="s">
        <v>20</v>
      </c>
      <c r="C25" s="32">
        <v>18</v>
      </c>
      <c r="D25" s="30">
        <v>20</v>
      </c>
      <c r="E25" s="6">
        <v>2</v>
      </c>
      <c r="H25" s="54" t="s">
        <v>11</v>
      </c>
      <c r="I25" s="19" t="s">
        <v>20</v>
      </c>
      <c r="J25" s="52">
        <f>18/30</f>
        <v>0.6</v>
      </c>
      <c r="K25" s="53">
        <f>20/43</f>
        <v>0.46511627906976744</v>
      </c>
      <c r="L25" s="14">
        <f>2/3</f>
        <v>0.66666666666666663</v>
      </c>
    </row>
    <row r="26" spans="1:12" ht="16.8" thickBot="1" x14ac:dyDescent="0.35">
      <c r="A26" s="55"/>
      <c r="B26" s="33" t="s">
        <v>21</v>
      </c>
      <c r="C26" s="25">
        <v>12</v>
      </c>
      <c r="D26" s="8">
        <v>23</v>
      </c>
      <c r="E26" s="18">
        <v>1</v>
      </c>
      <c r="H26" s="55"/>
      <c r="I26" s="33" t="s">
        <v>21</v>
      </c>
      <c r="J26" s="35">
        <f>12/30</f>
        <v>0.4</v>
      </c>
      <c r="K26" s="37">
        <f>23/43</f>
        <v>0.53488372093023251</v>
      </c>
      <c r="L26" s="20">
        <f>1/3</f>
        <v>0.33333333333333331</v>
      </c>
    </row>
    <row r="28" spans="1:12" x14ac:dyDescent="0.3">
      <c r="C28" s="3"/>
      <c r="D28" s="4"/>
      <c r="E28" s="4"/>
    </row>
  </sheetData>
  <mergeCells count="24">
    <mergeCell ref="A25:A26"/>
    <mergeCell ref="H3:H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A15:A16"/>
    <mergeCell ref="A17:A18"/>
    <mergeCell ref="A19:A20"/>
    <mergeCell ref="A3:A4"/>
    <mergeCell ref="A5:A6"/>
    <mergeCell ref="A7:A8"/>
    <mergeCell ref="A21:A22"/>
    <mergeCell ref="A23:A24"/>
    <mergeCell ref="A9:A10"/>
    <mergeCell ref="A11:A12"/>
    <mergeCell ref="A13:A14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B9E4F-BE95-4CC2-9BE2-135F051B8C6B}">
  <dimension ref="A1"/>
  <sheetViews>
    <sheetView tabSelected="1"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降雨量&gt;1.0mm</vt:lpstr>
      <vt:lpstr>降雨量&gt;30.0mm</vt:lpstr>
      <vt:lpstr>降雨量1.0~30.0mm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2023-08-02T08:08:47Z</dcterms:created>
  <dcterms:modified xsi:type="dcterms:W3CDTF">2023-08-30T08:00:13Z</dcterms:modified>
</cp:coreProperties>
</file>